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Tata Consumer" sheetId="2" state="visible" r:id="rId4"/>
    <sheet name="Goodricke" sheetId="3" state="visible" r:id="rId5"/>
    <sheet name="United Nilgir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<sst xmlns="http://schemas.openxmlformats.org/spreadsheetml/2006/main" count="110" uniqueCount="48">
  <si>
    <t xml:space="preserve">Metric</t>
  </si>
  <si>
    <t xml:space="preserve">Tata Consumer FY26</t>
  </si>
  <si>
    <t xml:space="preserve">Goodricke FY26</t>
  </si>
  <si>
    <t xml:space="preserve">United Nilgiri FY26</t>
  </si>
  <si>
    <t xml:space="preserve">Tata Consumer 5-yr avg</t>
  </si>
  <si>
    <t xml:space="preserve">Goodricke 5-yr avg</t>
  </si>
  <si>
    <t xml:space="preserve">United Nilgiri 5-yr avg</t>
  </si>
  <si>
    <t xml:space="preserve">Sales (₹ Cr)</t>
  </si>
  <si>
    <t xml:space="preserve">Sales CAGR, 5 yrs</t>
  </si>
  <si>
    <t xml:space="preserve">Revenue growth, latest year</t>
  </si>
  <si>
    <t xml:space="preserve">EBITDA margin</t>
  </si>
  <si>
    <t xml:space="preserve">Net margin</t>
  </si>
  <si>
    <t xml:space="preserve">ROE</t>
  </si>
  <si>
    <t xml:space="preserve">Asset turnover (x)</t>
  </si>
  <si>
    <t xml:space="preserve">Market cap (₹ Cr)</t>
  </si>
  <si>
    <t xml:space="preserve">P/E (market cap ÷ FY26 net profit)</t>
  </si>
  <si>
    <t xml:space="preserve">5-yr avg = average of FY22 to FY26 (five years). Green = values pulled from the other sheets. Blue = typed from the Screener Data Sheet export.</t>
  </si>
  <si>
    <t xml:space="preserve">Market caps are the prices in your downloaded Screener files, so they change daily. Refresh them before you finalise the report.</t>
  </si>
  <si>
    <t xml:space="preserve">Tata Consumer also sells coffee, salt and foods, so its numbers are not tea-only. EV/EBITDA is not included yet.</t>
  </si>
  <si>
    <t xml:space="preserve">United Nilgiri holds most of its assets as investments and earns large other income, which is excluded from EBITDA but included in net profit and ROE.</t>
  </si>
  <si>
    <t xml:space="preserve">Tata Consumer Products (₹ Crore)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</si>
  <si>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</si>
  <si>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</si>
  <si>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</si>
  <si>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</si>
  <si>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</si>
  <si>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</si>
  <si>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Sales</t>
  </si>
  <si>
    <t xml:space="preserve">Raw Material Cost</t>
  </si>
  <si>
    <t xml:space="preserve">Change in Inventory</t>
  </si>
  <si>
    <t xml:space="preserve">Power and Fuel</t>
  </si>
  <si>
    <t xml:space="preserve">Other Mfr. Exp</t>
  </si>
  <si>
    <t xml:space="preserve">Employee Cost</t>
  </si>
  <si>
    <t xml:space="preserve">Selling and admin</t>
  </si>
  <si>
    <t xml:space="preserve">Other Expenses</t>
  </si>
  <si>
    <t xml:space="preserve">Net profit</t>
  </si>
  <si>
    <t xml:space="preserve">Equity Share Capital</t>
  </si>
  <si>
    <t xml:space="preserve">Reserves</t>
  </si>
  <si>
    <t xml:space="preserve">Total Assets</t>
  </si>
  <si>
    <t xml:space="preserve">Total expenses</t>
  </si>
  <si>
    <t xml:space="preserve">Operating profit (EBITDA)</t>
  </si>
  <si>
    <t xml:space="preserve">Revenue growth</t>
  </si>
  <si>
    <t xml:space="preserve">n/a</t>
  </si>
  <si>
    <t xml:space="preserve">Sales CAGR, FY21 to FY26 (5 yrs)</t>
  </si>
  <si>
    <t xml:space="preserve">Blue = numbers from the Screener Data Sheet export (₹ Crore, years end 31 March). Black = formulas.</t>
  </si>
  <si>
    <t xml:space="preserve">Total expenses = Raw material − Change in inventory + Power &amp; fuel + Other mfr + Employee + Selling &amp; admin + Other expenses.</t>
  </si>
  <si>
    <t xml:space="preserve">Goodricke Group (₹ Crore)</t>
  </si>
  <si>
    <t xml:space="preserve">United Nilgiri Tea Estates (₹ Crore)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</si>
</sst>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0.0%"/>
    <numFmt numFmtId="167" formatCode="0.00\x"/>
    <numFmt numFmtId="168" formatCode="#,##0.00"/>
    <numFmt numFmtId="169" formatCode="0.0\x"/>
    <numFmt numFmtId="170" formatCode="#,##0.00;\(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E3E"/>
        <bgColor rgb="FF595959"/>
      </patternFill>
    </fill>
    <fill>
      <patternFill patternType="solid">
        <fgColor rgb="FFE8F0E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E8F0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E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6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4" t="n">
        <f aca="false">'Tata Consumer'!G2</f>
        <v>20290.43</v>
      </c>
      <c r="C2" s="4" t="n">
        <f aca="false">Goodricke!G2</f>
        <v>801.29</v>
      </c>
      <c r="D2" s="4" t="n">
        <f aca="false">'United Nilgiri'!G2</f>
        <v>83.35</v>
      </c>
      <c r="E2" s="4" t="n">
        <f aca="false">AVERAGE('Tata Consumer'!C2:G2)</f>
        <v>15864.622</v>
      </c>
      <c r="F2" s="4" t="n">
        <f aca="false">AVERAGE(Goodricke!C2:G2)</f>
        <v>852.006</v>
      </c>
      <c r="G2" s="4" t="n">
        <f aca="false">AVERAGE('United Nilgiri'!C2:G2)</f>
        <v>83.296</v>
      </c>
    </row>
    <row r="3" customFormat="false" ht="15" hidden="false" customHeight="false" outlineLevel="0" collapsed="false">
      <c r="A3" s="5" t="s">
        <v>8</v>
      </c>
      <c r="B3" s="6" t="n">
        <f aca="false">'Tata Consumer'!B23</f>
        <v>0.118282306007607</v>
      </c>
      <c r="C3" s="6" t="n">
        <f aca="false">Goodricke!B23</f>
        <v>-0.0211236645780948</v>
      </c>
      <c r="D3" s="6" t="n">
        <f aca="false">'United Nilgiri'!B23</f>
        <v>0.0467722894772817</v>
      </c>
      <c r="E3" s="6"/>
      <c r="F3" s="6"/>
      <c r="G3" s="6"/>
    </row>
    <row r="4" customFormat="false" ht="15" hidden="false" customHeight="false" outlineLevel="0" collapsed="false">
      <c r="A4" s="3" t="s">
        <v>9</v>
      </c>
      <c r="B4" s="7" t="n">
        <f aca="false">'Tata Consumer'!G21</f>
        <v>0.151667868068996</v>
      </c>
      <c r="C4" s="7" t="n">
        <f aca="false">Goodricke!G21</f>
        <v>-0.137878722671716</v>
      </c>
      <c r="D4" s="7" t="n">
        <f aca="false">'United Nilgiri'!G21</f>
        <v>-0.0718262806236081</v>
      </c>
      <c r="E4" s="7" t="n">
        <f aca="false">AVERAGE('Tata Consumer'!C21:G21)</f>
        <v>0.118756169154717</v>
      </c>
      <c r="F4" s="7" t="n">
        <f aca="false">AVERAGE(Goodricke!C21:G21)</f>
        <v>-0.01617458506924</v>
      </c>
      <c r="G4" s="7" t="n">
        <f aca="false">AVERAGE('United Nilgiri'!C21:G21)</f>
        <v>0.0495652803635988</v>
      </c>
    </row>
    <row r="5" customFormat="false" ht="15" hidden="false" customHeight="false" outlineLevel="0" collapsed="false">
      <c r="A5" s="5" t="s">
        <v>10</v>
      </c>
      <c r="B5" s="6" t="n">
        <f aca="false">'Tata Consumer'!G17</f>
        <v>0.137591958376437</v>
      </c>
      <c r="C5" s="6" t="n">
        <f aca="false">Goodricke!G17</f>
        <v>0.0243107988368756</v>
      </c>
      <c r="D5" s="6" t="n">
        <f aca="false">'United Nilgiri'!G17</f>
        <v>0.237912417516497</v>
      </c>
      <c r="E5" s="6" t="n">
        <f aca="false">AVERAGE('Tata Consumer'!C17:G17)</f>
        <v>0.140309833719528</v>
      </c>
      <c r="F5" s="6" t="n">
        <f aca="false">AVERAGE(Goodricke!C17:G17)</f>
        <v>0.00573867544421475</v>
      </c>
      <c r="G5" s="6" t="n">
        <f aca="false">AVERAGE('United Nilgiri'!C17:G17)</f>
        <v>0.183118440345232</v>
      </c>
    </row>
    <row r="6" customFormat="false" ht="15" hidden="false" customHeight="false" outlineLevel="0" collapsed="false">
      <c r="A6" s="3" t="s">
        <v>11</v>
      </c>
      <c r="B6" s="7" t="n">
        <f aca="false">'Tata Consumer'!G18</f>
        <v>0.0760112033111176</v>
      </c>
      <c r="C6" s="7" t="n">
        <f aca="false">Goodricke!G18</f>
        <v>0.0318860836900498</v>
      </c>
      <c r="D6" s="7" t="n">
        <f aca="false">'United Nilgiri'!G18</f>
        <v>0.263227354529094</v>
      </c>
      <c r="E6" s="7" t="n">
        <f aca="false">AVERAGE('Tata Consumer'!C18:G18)</f>
        <v>0.077374982351072</v>
      </c>
      <c r="F6" s="7" t="n">
        <f aca="false">AVERAGE(Goodricke!C18:G18)</f>
        <v>-0.00491662455645836</v>
      </c>
      <c r="G6" s="7" t="n">
        <f aca="false">AVERAGE('United Nilgiri'!C18:G18)</f>
        <v>0.188254122924963</v>
      </c>
    </row>
    <row r="7" customFormat="false" ht="15" hidden="false" customHeight="false" outlineLevel="0" collapsed="false">
      <c r="A7" s="5" t="s">
        <v>12</v>
      </c>
      <c r="B7" s="6" t="n">
        <f aca="false">'Tata Consumer'!G19</f>
        <v>0.0707881985704667</v>
      </c>
      <c r="C7" s="6" t="n">
        <f aca="false">Goodricke!G19</f>
        <v>0.0841845140032949</v>
      </c>
      <c r="D7" s="6" t="n">
        <f aca="false">'United Nilgiri'!G19</f>
        <v>0.0909279290480335</v>
      </c>
      <c r="E7" s="6" t="n">
        <f aca="false">AVERAGE('Tata Consumer'!C19:G19)</f>
        <v>0.0684213434654499</v>
      </c>
      <c r="F7" s="6" t="n">
        <f aca="false">AVERAGE(Goodricke!C19:G19)</f>
        <v>-0.0227180366298519</v>
      </c>
      <c r="G7" s="6" t="n">
        <f aca="false">AVERAGE('United Nilgiri'!C19:G19)</f>
        <v>0.0753875823346456</v>
      </c>
    </row>
    <row r="8" customFormat="false" ht="15" hidden="false" customHeight="false" outlineLevel="0" collapsed="false">
      <c r="A8" s="3" t="s">
        <v>13</v>
      </c>
      <c r="B8" s="8" t="n">
        <f aca="false">'Tata Consumer'!G20</f>
        <v>0.59192461566557</v>
      </c>
      <c r="C8" s="8" t="n">
        <f aca="false">Goodricke!G20</f>
        <v>1.33838316352096</v>
      </c>
      <c r="D8" s="8" t="n">
        <f aca="false">'United Nilgiri'!G20</f>
        <v>0.326031683942891</v>
      </c>
      <c r="E8" s="8" t="n">
        <f aca="false">AVERAGE('Tata Consumer'!C20:G20)</f>
        <v>0.577191292898794</v>
      </c>
      <c r="F8" s="8" t="n">
        <f aca="false">AVERAGE(Goodricke!C20:G20)</f>
        <v>1.34655535983712</v>
      </c>
      <c r="G8" s="8" t="n">
        <f aca="false">AVERAGE('United Nilgiri'!C20:G20)</f>
        <v>0.385158826900811</v>
      </c>
    </row>
    <row r="9" customFormat="false" ht="15" hidden="false" customHeight="false" outlineLevel="0" collapsed="false">
      <c r="A9" s="5" t="s">
        <v>14</v>
      </c>
      <c r="B9" s="9" t="n">
        <v>95396.99</v>
      </c>
      <c r="C9" s="9" t="n">
        <v>453.82</v>
      </c>
      <c r="D9" s="9" t="n">
        <v>203.73</v>
      </c>
    </row>
    <row r="10" customFormat="false" ht="15" hidden="false" customHeight="false" outlineLevel="0" collapsed="false">
      <c r="A10" s="3" t="s">
        <v>15</v>
      </c>
      <c r="B10" s="10" t="n">
        <f aca="false">B9/'Tata Consumer'!G10</f>
        <v>61.8537184724113</v>
      </c>
      <c r="C10" s="10" t="n">
        <f aca="false">C9/Goodricke!G10</f>
        <v>17.7620352250489</v>
      </c>
      <c r="D10" s="10" t="n">
        <f aca="false">D9/'United Nilgiri'!G10</f>
        <v>9.28577939835916</v>
      </c>
      <c r="E10" s="11"/>
      <c r="F10" s="11"/>
      <c r="G10" s="11"/>
    </row>
    <row r="12" customFormat="false" ht="15" hidden="false" customHeight="false" outlineLevel="0" collapsed="false">
      <c r="A12" s="12" t="s">
        <v>16</v>
      </c>
    </row>
    <row r="13" customFormat="false" ht="15" hidden="false" customHeight="false" outlineLevel="0" collapsed="false">
      <c r="A13" s="12" t="s">
        <v>17</v>
      </c>
    </row>
    <row r="14" customFormat="false" ht="15" hidden="false" customHeight="false" outlineLevel="0" collapsed="false">
      <c r="A14" s="12" t="s">
        <v>18</v>
      </c>
    </row>
    <row r="15" customFormat="false" ht="15" hidden="false" customHeight="false" outlineLevel="0" collapsed="false">
      <c r="A15" s="1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13" t="s">
        <v>20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</row>
    <row r="2" customFormat="false" ht="15" hidden="false" customHeight="false" outlineLevel="0" collapsed="false">
      <c r="A2" s="5" t="s">
        <v>27</v>
      </c>
      <c r="B2" s="15" t="n">
        <v>11602.03</v>
      </c>
      <c r="C2" s="15" t="n">
        <v>12425.37</v>
      </c>
      <c r="D2" s="15" t="n">
        <v>13783.16</v>
      </c>
      <c r="E2" s="15" t="n">
        <v>15205.85</v>
      </c>
      <c r="F2" s="15" t="n">
        <v>17618.3</v>
      </c>
      <c r="G2" s="15" t="n">
        <v>20290.43</v>
      </c>
    </row>
    <row r="3" customFormat="false" ht="15" hidden="false" customHeight="false" outlineLevel="0" collapsed="false">
      <c r="A3" s="5" t="s">
        <v>28</v>
      </c>
      <c r="B3" s="15" t="n">
        <v>6367.79</v>
      </c>
      <c r="C3" s="15" t="n">
        <v>6323.22</v>
      </c>
      <c r="D3" s="15" t="n">
        <v>7107.06</v>
      </c>
      <c r="E3" s="15" t="n">
        <v>7364.06</v>
      </c>
      <c r="F3" s="15" t="n">
        <v>8986.68</v>
      </c>
      <c r="G3" s="15" t="n">
        <v>10319.26</v>
      </c>
    </row>
    <row r="4" customFormat="false" ht="15" hidden="false" customHeight="false" outlineLevel="0" collapsed="false">
      <c r="A4" s="5" t="s">
        <v>29</v>
      </c>
      <c r="B4" s="15" t="n">
        <v>149.54</v>
      </c>
      <c r="C4" s="15" t="n">
        <v>39.78</v>
      </c>
      <c r="D4" s="15" t="n">
        <v>273.88</v>
      </c>
      <c r="E4" s="15" t="n">
        <v>121.6</v>
      </c>
      <c r="F4" s="15" t="n">
        <v>362.49</v>
      </c>
      <c r="G4" s="15" t="n">
        <v>40.75</v>
      </c>
    </row>
    <row r="5" customFormat="false" ht="15" hidden="false" customHeight="false" outlineLevel="0" collapsed="false">
      <c r="A5" s="5" t="s">
        <v>30</v>
      </c>
      <c r="B5" s="15" t="n">
        <v>97.36</v>
      </c>
      <c r="C5" s="15" t="n">
        <v>123.9</v>
      </c>
      <c r="D5" s="15" t="n">
        <v>149.43</v>
      </c>
      <c r="E5" s="15" t="n">
        <v>156.9</v>
      </c>
      <c r="F5" s="15" t="n">
        <v>156.21</v>
      </c>
      <c r="G5" s="15" t="n">
        <v>161.95</v>
      </c>
    </row>
    <row r="6" customFormat="false" ht="15" hidden="false" customHeight="false" outlineLevel="0" collapsed="false">
      <c r="A6" s="5" t="s">
        <v>31</v>
      </c>
      <c r="B6" s="15" t="n">
        <v>941.75</v>
      </c>
      <c r="C6" s="15" t="n">
        <v>1139.59</v>
      </c>
      <c r="D6" s="15" t="n">
        <v>1578.2</v>
      </c>
      <c r="E6" s="15" t="n">
        <v>1696.28</v>
      </c>
      <c r="F6" s="15" t="n">
        <v>1882.25</v>
      </c>
      <c r="G6" s="15" t="n">
        <v>2138.9</v>
      </c>
    </row>
    <row r="7" customFormat="false" ht="15" hidden="false" customHeight="false" outlineLevel="0" collapsed="false">
      <c r="A7" s="5" t="s">
        <v>32</v>
      </c>
      <c r="B7" s="15" t="n">
        <v>970.23</v>
      </c>
      <c r="C7" s="15" t="n">
        <v>1048</v>
      </c>
      <c r="D7" s="15" t="n">
        <v>1120.36</v>
      </c>
      <c r="E7" s="15" t="n">
        <v>1258.59</v>
      </c>
      <c r="F7" s="15" t="n">
        <v>1430.1</v>
      </c>
      <c r="G7" s="15" t="n">
        <v>1661</v>
      </c>
    </row>
    <row r="8" customFormat="false" ht="15" hidden="false" customHeight="false" outlineLevel="0" collapsed="false">
      <c r="A8" s="5" t="s">
        <v>33</v>
      </c>
      <c r="B8" s="15" t="n">
        <v>1421.46</v>
      </c>
      <c r="C8" s="15" t="n">
        <v>1691.83</v>
      </c>
      <c r="D8" s="15" t="n">
        <v>1785.26</v>
      </c>
      <c r="E8" s="15" t="n">
        <v>1927.15</v>
      </c>
      <c r="F8" s="15" t="n">
        <v>2253.37</v>
      </c>
      <c r="G8" s="15" t="n">
        <v>2397.91</v>
      </c>
    </row>
    <row r="9" customFormat="false" ht="15" hidden="false" customHeight="false" outlineLevel="0" collapsed="false">
      <c r="A9" s="5" t="s">
        <v>34</v>
      </c>
      <c r="B9" s="15" t="n">
        <v>409.22</v>
      </c>
      <c r="C9" s="15" t="n">
        <v>419.83</v>
      </c>
      <c r="D9" s="15" t="n">
        <v>460.26</v>
      </c>
      <c r="E9" s="15" t="n">
        <v>640.37</v>
      </c>
      <c r="F9" s="15" t="n">
        <v>792.83</v>
      </c>
      <c r="G9" s="15" t="n">
        <v>860.36</v>
      </c>
    </row>
    <row r="10" customFormat="false" ht="15" hidden="false" customHeight="false" outlineLevel="0" collapsed="false">
      <c r="A10" s="5" t="s">
        <v>35</v>
      </c>
      <c r="B10" s="15" t="n">
        <v>856.69</v>
      </c>
      <c r="C10" s="15" t="n">
        <v>935.78</v>
      </c>
      <c r="D10" s="15" t="n">
        <v>1203.77</v>
      </c>
      <c r="E10" s="15" t="n">
        <v>1150.33</v>
      </c>
      <c r="F10" s="15" t="n">
        <v>1278.47</v>
      </c>
      <c r="G10" s="15" t="n">
        <v>1542.3</v>
      </c>
    </row>
    <row r="11" customFormat="false" ht="15" hidden="false" customHeight="false" outlineLevel="0" collapsed="false">
      <c r="A11" s="5" t="s">
        <v>36</v>
      </c>
      <c r="B11" s="15" t="n">
        <v>92.16</v>
      </c>
      <c r="C11" s="15" t="n">
        <v>92.16</v>
      </c>
      <c r="D11" s="15" t="n">
        <v>92.9</v>
      </c>
      <c r="E11" s="15" t="n">
        <v>95.28</v>
      </c>
      <c r="F11" s="15" t="n">
        <v>98.95</v>
      </c>
      <c r="G11" s="15" t="n">
        <v>98.96</v>
      </c>
    </row>
    <row r="12" customFormat="false" ht="15" hidden="false" customHeight="false" outlineLevel="0" collapsed="false">
      <c r="A12" s="5" t="s">
        <v>37</v>
      </c>
      <c r="B12" s="15" t="n">
        <v>14442.35</v>
      </c>
      <c r="C12" s="15" t="n">
        <v>15049.78</v>
      </c>
      <c r="D12" s="15" t="n">
        <v>16183.81</v>
      </c>
      <c r="E12" s="15" t="n">
        <v>15961.51</v>
      </c>
      <c r="F12" s="15" t="n">
        <v>19902.13</v>
      </c>
      <c r="G12" s="15" t="n">
        <v>21688.57</v>
      </c>
    </row>
    <row r="13" customFormat="false" ht="15" hidden="false" customHeight="false" outlineLevel="0" collapsed="false">
      <c r="A13" s="5" t="s">
        <v>38</v>
      </c>
      <c r="B13" s="15" t="n">
        <v>20217.82</v>
      </c>
      <c r="C13" s="15" t="n">
        <v>21074.87</v>
      </c>
      <c r="D13" s="15" t="n">
        <v>22762.49</v>
      </c>
      <c r="E13" s="15" t="n">
        <v>27878.79</v>
      </c>
      <c r="F13" s="15" t="n">
        <v>31830.62</v>
      </c>
      <c r="G13" s="15" t="n">
        <v>34278.74</v>
      </c>
    </row>
    <row r="15" customFormat="false" ht="15" hidden="false" customHeight="false" outlineLevel="0" collapsed="false">
      <c r="A15" s="3" t="s">
        <v>39</v>
      </c>
      <c r="B15" s="16" t="n">
        <f aca="false">B3-B4+B5+B6+B7+B8+B9</f>
        <v>10058.27</v>
      </c>
      <c r="C15" s="16" t="n">
        <f aca="false">C3-C4+C5+C6+C7+C8+C9</f>
        <v>10706.59</v>
      </c>
      <c r="D15" s="16" t="n">
        <f aca="false">D3-D4+D5+D6+D7+D8+D9</f>
        <v>11926.69</v>
      </c>
      <c r="E15" s="16" t="n">
        <f aca="false">E3-E4+E5+E6+E7+E8+E9</f>
        <v>12921.75</v>
      </c>
      <c r="F15" s="16" t="n">
        <f aca="false">F3-F4+F5+F6+F7+F8+F9</f>
        <v>15138.95</v>
      </c>
      <c r="G15" s="16" t="n">
        <f aca="false">G3-G4+G5+G6+G7+G8+G9</f>
        <v>17498.63</v>
      </c>
    </row>
    <row r="16" customFormat="false" ht="15" hidden="false" customHeight="false" outlineLevel="0" collapsed="false">
      <c r="A16" s="5" t="s">
        <v>40</v>
      </c>
      <c r="B16" s="17" t="n">
        <f aca="false">B2-B15</f>
        <v>1543.76</v>
      </c>
      <c r="C16" s="17" t="n">
        <f aca="false">C2-C15</f>
        <v>1718.78</v>
      </c>
      <c r="D16" s="17" t="n">
        <f aca="false">D2-D15</f>
        <v>1856.47</v>
      </c>
      <c r="E16" s="17" t="n">
        <f aca="false">E2-E15</f>
        <v>2284.1</v>
      </c>
      <c r="F16" s="17" t="n">
        <f aca="false">F2-F15</f>
        <v>2479.35</v>
      </c>
      <c r="G16" s="17" t="n">
        <f aca="false">G2-G15</f>
        <v>2791.8</v>
      </c>
    </row>
    <row r="17" customFormat="false" ht="15" hidden="false" customHeight="false" outlineLevel="0" collapsed="false">
      <c r="A17" s="3" t="s">
        <v>10</v>
      </c>
      <c r="B17" s="18" t="n">
        <f aca="false">B16/B2</f>
        <v>0.133059473212878</v>
      </c>
      <c r="C17" s="18" t="n">
        <f aca="false">C16/C2</f>
        <v>0.138328275133859</v>
      </c>
      <c r="D17" s="18" t="n">
        <f aca="false">D16/D2</f>
        <v>0.134691173867241</v>
      </c>
      <c r="E17" s="18" t="n">
        <f aca="false">E16/E2</f>
        <v>0.150211925015701</v>
      </c>
      <c r="F17" s="18" t="n">
        <f aca="false">F16/F2</f>
        <v>0.140725836204401</v>
      </c>
      <c r="G17" s="18" t="n">
        <f aca="false">G16/G2</f>
        <v>0.137591958376437</v>
      </c>
    </row>
    <row r="18" customFormat="false" ht="15" hidden="false" customHeight="false" outlineLevel="0" collapsed="false">
      <c r="A18" s="5" t="s">
        <v>11</v>
      </c>
      <c r="B18" s="19" t="n">
        <f aca="false">B10/B2</f>
        <v>0.0738396642656501</v>
      </c>
      <c r="C18" s="19" t="n">
        <f aca="false">C10/C2</f>
        <v>0.0753120430216565</v>
      </c>
      <c r="D18" s="19" t="n">
        <f aca="false">D10/D2</f>
        <v>0.0873362857283816</v>
      </c>
      <c r="E18" s="19" t="n">
        <f aca="false">E10/E2</f>
        <v>0.0756504897786049</v>
      </c>
      <c r="F18" s="19" t="n">
        <f aca="false">F10/F2</f>
        <v>0.0725648899155991</v>
      </c>
      <c r="G18" s="19" t="n">
        <f aca="false">G10/G2</f>
        <v>0.0760112033111176</v>
      </c>
    </row>
    <row r="19" customFormat="false" ht="15" hidden="false" customHeight="false" outlineLevel="0" collapsed="false">
      <c r="A19" s="3" t="s">
        <v>12</v>
      </c>
      <c r="B19" s="18" t="n">
        <f aca="false">B10/(B11+B12)</f>
        <v>0.0589417875112405</v>
      </c>
      <c r="C19" s="18" t="n">
        <f aca="false">C10/(C11+C12)</f>
        <v>0.0618005354663933</v>
      </c>
      <c r="D19" s="18" t="n">
        <f aca="false">D10/(D11+D12)</f>
        <v>0.0739565919648381</v>
      </c>
      <c r="E19" s="18" t="n">
        <f aca="false">E10/(E11+E12)</f>
        <v>0.0716413430081604</v>
      </c>
      <c r="F19" s="18" t="n">
        <f aca="false">F10/(F11+F12)</f>
        <v>0.0639200483173909</v>
      </c>
      <c r="G19" s="18" t="n">
        <f aca="false">G10/(G11+G12)</f>
        <v>0.0707881985704667</v>
      </c>
    </row>
    <row r="20" customFormat="false" ht="15" hidden="false" customHeight="false" outlineLevel="0" collapsed="false">
      <c r="A20" s="5" t="s">
        <v>13</v>
      </c>
      <c r="B20" s="20" t="n">
        <f aca="false">B2/B13</f>
        <v>0.573851681338542</v>
      </c>
      <c r="C20" s="20" t="n">
        <f aca="false">C2/C13</f>
        <v>0.589582284493333</v>
      </c>
      <c r="D20" s="20" t="n">
        <f aca="false">D2/D13</f>
        <v>0.605520749267765</v>
      </c>
      <c r="E20" s="20" t="n">
        <f aca="false">E2/E13</f>
        <v>0.545427186760975</v>
      </c>
      <c r="F20" s="20" t="n">
        <f aca="false">F2/F13</f>
        <v>0.553501628306329</v>
      </c>
      <c r="G20" s="20" t="n">
        <f aca="false">G2/G13</f>
        <v>0.59192461566557</v>
      </c>
    </row>
    <row r="21" customFormat="false" ht="15" hidden="false" customHeight="false" outlineLevel="0" collapsed="false">
      <c r="A21" s="3" t="s">
        <v>41</v>
      </c>
      <c r="B21" s="21" t="s">
        <v>42</v>
      </c>
      <c r="C21" s="18" t="n">
        <f aca="false">C2/B2-1</f>
        <v>0.0709651673026186</v>
      </c>
      <c r="D21" s="18" t="n">
        <f aca="false">D2/C2-1</f>
        <v>0.109275619156613</v>
      </c>
      <c r="E21" s="18" t="n">
        <f aca="false">E2/D2-1</f>
        <v>0.103219435891334</v>
      </c>
      <c r="F21" s="18" t="n">
        <f aca="false">F2/E2-1</f>
        <v>0.158652755354025</v>
      </c>
      <c r="G21" s="18" t="n">
        <f aca="false">G2/F2-1</f>
        <v>0.151667868068996</v>
      </c>
    </row>
    <row r="23" customFormat="false" ht="15" hidden="false" customHeight="false" outlineLevel="0" collapsed="false">
      <c r="A23" s="5" t="s">
        <v>43</v>
      </c>
      <c r="B23" s="19" t="n">
        <f aca="false">(G2/B2)^(1/5)-1</f>
        <v>0.118282306007607</v>
      </c>
    </row>
    <row r="25" customFormat="false" ht="15" hidden="false" customHeight="false" outlineLevel="0" collapsed="false">
      <c r="A25" s="12" t="s">
        <v>44</v>
      </c>
    </row>
    <row r="26" customFormat="false" ht="15" hidden="false" customHeight="false" outlineLevel="0" collapsed="false">
      <c r="A26" s="1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13" t="s">
        <v>46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</row>
    <row r="2" customFormat="false" ht="15" hidden="false" customHeight="false" outlineLevel="0" collapsed="false">
      <c r="A2" s="5" t="s">
        <v>27</v>
      </c>
      <c r="B2" s="15" t="n">
        <v>891.56</v>
      </c>
      <c r="C2" s="15" t="n">
        <v>823.12</v>
      </c>
      <c r="D2" s="15" t="n">
        <v>882.2</v>
      </c>
      <c r="E2" s="15" t="n">
        <v>823.98</v>
      </c>
      <c r="F2" s="15" t="n">
        <v>929.44</v>
      </c>
      <c r="G2" s="15" t="n">
        <v>801.29</v>
      </c>
    </row>
    <row r="3" customFormat="false" ht="15" hidden="false" customHeight="false" outlineLevel="0" collapsed="false">
      <c r="A3" s="5" t="s">
        <v>28</v>
      </c>
      <c r="B3" s="15" t="n">
        <v>357.8</v>
      </c>
      <c r="C3" s="15" t="n">
        <v>269.73</v>
      </c>
      <c r="D3" s="15" t="n">
        <v>292.86</v>
      </c>
      <c r="E3" s="15" t="n">
        <v>261.39</v>
      </c>
      <c r="F3" s="15" t="n">
        <v>322.42</v>
      </c>
      <c r="G3" s="15" t="n">
        <v>245.43</v>
      </c>
    </row>
    <row r="4" customFormat="false" ht="15" hidden="false" customHeight="false" outlineLevel="0" collapsed="false">
      <c r="A4" s="5" t="s">
        <v>29</v>
      </c>
      <c r="B4" s="15" t="n">
        <v>0.68</v>
      </c>
      <c r="C4" s="15" t="n">
        <v>-4.18</v>
      </c>
      <c r="D4" s="15" t="n">
        <v>-1.96</v>
      </c>
      <c r="E4" s="15" t="n">
        <v>-7.11</v>
      </c>
      <c r="F4" s="15" t="n">
        <v>9.93</v>
      </c>
      <c r="G4" s="15" t="n">
        <v>5.91</v>
      </c>
    </row>
    <row r="5" customFormat="false" ht="15" hidden="false" customHeight="false" outlineLevel="0" collapsed="false">
      <c r="A5" s="5" t="s">
        <v>30</v>
      </c>
      <c r="B5" s="15" t="n">
        <v>51.97</v>
      </c>
      <c r="C5" s="15" t="n">
        <v>52.96</v>
      </c>
      <c r="D5" s="15" t="n">
        <v>62.11</v>
      </c>
      <c r="E5" s="15" t="n">
        <v>60.59</v>
      </c>
      <c r="F5" s="15" t="n">
        <v>56.89</v>
      </c>
      <c r="G5" s="15" t="n">
        <v>51.18</v>
      </c>
    </row>
    <row r="6" customFormat="false" ht="15" hidden="false" customHeight="false" outlineLevel="0" collapsed="false">
      <c r="A6" s="5" t="s">
        <v>31</v>
      </c>
      <c r="B6" s="15" t="n">
        <v>45</v>
      </c>
      <c r="C6" s="15" t="n">
        <v>51.16</v>
      </c>
      <c r="D6" s="15" t="n">
        <v>60.4</v>
      </c>
      <c r="E6" s="15" t="n">
        <v>66.64</v>
      </c>
      <c r="F6" s="15" t="n">
        <v>72.33</v>
      </c>
      <c r="G6" s="15" t="n">
        <v>65.75</v>
      </c>
    </row>
    <row r="7" customFormat="false" ht="15" hidden="false" customHeight="false" outlineLevel="0" collapsed="false">
      <c r="A7" s="5" t="s">
        <v>32</v>
      </c>
      <c r="B7" s="15" t="n">
        <v>295.13</v>
      </c>
      <c r="C7" s="15" t="n">
        <v>320.8</v>
      </c>
      <c r="D7" s="15" t="n">
        <v>339.66</v>
      </c>
      <c r="E7" s="15" t="n">
        <v>369.69</v>
      </c>
      <c r="F7" s="15" t="n">
        <v>365.24</v>
      </c>
      <c r="G7" s="15" t="n">
        <v>333.85</v>
      </c>
    </row>
    <row r="8" customFormat="false" ht="15" hidden="false" customHeight="false" outlineLevel="0" collapsed="false">
      <c r="A8" s="5" t="s">
        <v>33</v>
      </c>
      <c r="B8" s="15" t="n">
        <v>64.83</v>
      </c>
      <c r="C8" s="15" t="n">
        <v>62.3</v>
      </c>
      <c r="D8" s="15" t="n">
        <v>70.81</v>
      </c>
      <c r="E8" s="15" t="n">
        <v>61.41</v>
      </c>
      <c r="F8" s="15" t="n">
        <v>61.36</v>
      </c>
      <c r="G8" s="15" t="n">
        <v>54.57</v>
      </c>
    </row>
    <row r="9" customFormat="false" ht="15" hidden="false" customHeight="false" outlineLevel="0" collapsed="false">
      <c r="A9" s="5" t="s">
        <v>34</v>
      </c>
      <c r="B9" s="15" t="n">
        <v>32.78</v>
      </c>
      <c r="C9" s="15" t="n">
        <v>35.75</v>
      </c>
      <c r="D9" s="15" t="n">
        <v>44.94</v>
      </c>
      <c r="E9" s="15" t="n">
        <v>45.69</v>
      </c>
      <c r="F9" s="15" t="n">
        <v>41.9</v>
      </c>
      <c r="G9" s="15" t="n">
        <v>36.94</v>
      </c>
    </row>
    <row r="10" customFormat="false" ht="15" hidden="false" customHeight="false" outlineLevel="0" collapsed="false">
      <c r="A10" s="5" t="s">
        <v>35</v>
      </c>
      <c r="B10" s="15" t="n">
        <v>19.53</v>
      </c>
      <c r="C10" s="15" t="n">
        <v>5.28</v>
      </c>
      <c r="D10" s="15" t="n">
        <v>-0.32</v>
      </c>
      <c r="E10" s="15" t="n">
        <v>-69.3</v>
      </c>
      <c r="F10" s="15" t="n">
        <v>20.06</v>
      </c>
      <c r="G10" s="15" t="n">
        <v>25.55</v>
      </c>
    </row>
    <row r="11" customFormat="false" ht="15" hidden="false" customHeight="false" outlineLevel="0" collapsed="false">
      <c r="A11" s="5" t="s">
        <v>36</v>
      </c>
      <c r="B11" s="15" t="n">
        <v>21.6</v>
      </c>
      <c r="C11" s="15" t="n">
        <v>21.6</v>
      </c>
      <c r="D11" s="15" t="n">
        <v>21.6</v>
      </c>
      <c r="E11" s="15" t="n">
        <v>21.6</v>
      </c>
      <c r="F11" s="15" t="n">
        <v>21.6</v>
      </c>
      <c r="G11" s="15" t="n">
        <v>21.6</v>
      </c>
    </row>
    <row r="12" customFormat="false" ht="15" hidden="false" customHeight="false" outlineLevel="0" collapsed="false">
      <c r="A12" s="5" t="s">
        <v>37</v>
      </c>
      <c r="B12" s="15" t="n">
        <v>297.73</v>
      </c>
      <c r="C12" s="15" t="n">
        <v>300.84</v>
      </c>
      <c r="D12" s="15" t="n">
        <v>289.29</v>
      </c>
      <c r="E12" s="15" t="n">
        <v>219.64</v>
      </c>
      <c r="F12" s="15" t="n">
        <v>248.95</v>
      </c>
      <c r="G12" s="15" t="n">
        <v>281.9</v>
      </c>
    </row>
    <row r="13" customFormat="false" ht="15" hidden="false" customHeight="false" outlineLevel="0" collapsed="false">
      <c r="A13" s="5" t="s">
        <v>38</v>
      </c>
      <c r="B13" s="15" t="n">
        <v>663.06</v>
      </c>
      <c r="C13" s="15" t="n">
        <v>636.17</v>
      </c>
      <c r="D13" s="15" t="n">
        <v>639.23</v>
      </c>
      <c r="E13" s="15" t="n">
        <v>648.15</v>
      </c>
      <c r="F13" s="15" t="n">
        <v>641.37</v>
      </c>
      <c r="G13" s="15" t="n">
        <v>598.7</v>
      </c>
    </row>
    <row r="15" customFormat="false" ht="15" hidden="false" customHeight="false" outlineLevel="0" collapsed="false">
      <c r="A15" s="3" t="s">
        <v>39</v>
      </c>
      <c r="B15" s="16" t="n">
        <f aca="false">B3-B4+B5+B6+B7+B8+B9</f>
        <v>846.83</v>
      </c>
      <c r="C15" s="16" t="n">
        <f aca="false">C3-C4+C5+C6+C7+C8+C9</f>
        <v>796.88</v>
      </c>
      <c r="D15" s="16" t="n">
        <f aca="false">D3-D4+D5+D6+D7+D8+D9</f>
        <v>872.74</v>
      </c>
      <c r="E15" s="16" t="n">
        <f aca="false">E3-E4+E5+E6+E7+E8+E9</f>
        <v>872.52</v>
      </c>
      <c r="F15" s="16" t="n">
        <f aca="false">F3-F4+F5+F6+F7+F8+F9</f>
        <v>910.21</v>
      </c>
      <c r="G15" s="16" t="n">
        <f aca="false">G3-G4+G5+G6+G7+G8+G9</f>
        <v>781.81</v>
      </c>
    </row>
    <row r="16" customFormat="false" ht="15" hidden="false" customHeight="false" outlineLevel="0" collapsed="false">
      <c r="A16" s="5" t="s">
        <v>40</v>
      </c>
      <c r="B16" s="17" t="n">
        <f aca="false">B2-B15</f>
        <v>44.7299999999999</v>
      </c>
      <c r="C16" s="17" t="n">
        <f aca="false">C2-C15</f>
        <v>26.2400000000001</v>
      </c>
      <c r="D16" s="17" t="n">
        <f aca="false">D2-D15</f>
        <v>9.46000000000004</v>
      </c>
      <c r="E16" s="17" t="n">
        <f aca="false">E2-E15</f>
        <v>-48.54</v>
      </c>
      <c r="F16" s="17" t="n">
        <f aca="false">F2-F15</f>
        <v>19.23</v>
      </c>
      <c r="G16" s="17" t="n">
        <f aca="false">G2-G15</f>
        <v>19.48</v>
      </c>
    </row>
    <row r="17" customFormat="false" ht="15" hidden="false" customHeight="false" outlineLevel="0" collapsed="false">
      <c r="A17" s="3" t="s">
        <v>10</v>
      </c>
      <c r="B17" s="18" t="n">
        <f aca="false">B16/B2</f>
        <v>0.050170487684508</v>
      </c>
      <c r="C17" s="18" t="n">
        <f aca="false">C16/C2</f>
        <v>0.0318787054135486</v>
      </c>
      <c r="D17" s="18" t="n">
        <f aca="false">D16/D2</f>
        <v>0.0107231920199502</v>
      </c>
      <c r="E17" s="18" t="n">
        <f aca="false">E16/E2</f>
        <v>-0.0589091968251656</v>
      </c>
      <c r="F17" s="18" t="n">
        <f aca="false">F16/F2</f>
        <v>0.0206898777758651</v>
      </c>
      <c r="G17" s="18" t="n">
        <f aca="false">G16/G2</f>
        <v>0.0243107988368756</v>
      </c>
    </row>
    <row r="18" customFormat="false" ht="15" hidden="false" customHeight="false" outlineLevel="0" collapsed="false">
      <c r="A18" s="5" t="s">
        <v>11</v>
      </c>
      <c r="B18" s="19" t="n">
        <f aca="false">B10/B2</f>
        <v>0.0219054242002782</v>
      </c>
      <c r="C18" s="19" t="n">
        <f aca="false">C10/C2</f>
        <v>0.00641461755272621</v>
      </c>
      <c r="D18" s="19" t="n">
        <f aca="false">D10/D2</f>
        <v>-0.000362729539786896</v>
      </c>
      <c r="E18" s="19" t="n">
        <f aca="false">E10/E2</f>
        <v>-0.0841039831063861</v>
      </c>
      <c r="F18" s="19" t="n">
        <f aca="false">F10/F2</f>
        <v>0.0215828886211052</v>
      </c>
      <c r="G18" s="19" t="n">
        <f aca="false">G10/G2</f>
        <v>0.0318860836900498</v>
      </c>
    </row>
    <row r="19" customFormat="false" ht="15" hidden="false" customHeight="false" outlineLevel="0" collapsed="false">
      <c r="A19" s="3" t="s">
        <v>12</v>
      </c>
      <c r="B19" s="18" t="n">
        <f aca="false">B10/(B11+B12)</f>
        <v>0.0611593022891679</v>
      </c>
      <c r="C19" s="18" t="n">
        <f aca="false">C10/(C11+C12)</f>
        <v>0.0163751395608485</v>
      </c>
      <c r="D19" s="18" t="n">
        <f aca="false">D10/(D11+D12)</f>
        <v>-0.00102930296889575</v>
      </c>
      <c r="E19" s="18" t="n">
        <f aca="false">E10/(E11+E12)</f>
        <v>-0.287265793400763</v>
      </c>
      <c r="F19" s="18" t="n">
        <f aca="false">F10/(F11+F12)</f>
        <v>0.0741452596562558</v>
      </c>
      <c r="G19" s="18" t="n">
        <f aca="false">G10/(G11+G12)</f>
        <v>0.0841845140032949</v>
      </c>
    </row>
    <row r="20" customFormat="false" ht="15" hidden="false" customHeight="false" outlineLevel="0" collapsed="false">
      <c r="A20" s="5" t="s">
        <v>13</v>
      </c>
      <c r="B20" s="20" t="n">
        <f aca="false">B2/B13</f>
        <v>1.34461436370766</v>
      </c>
      <c r="C20" s="20" t="n">
        <f aca="false">C2/C13</f>
        <v>1.2938679912602</v>
      </c>
      <c r="D20" s="20" t="n">
        <f aca="false">D2/D13</f>
        <v>1.38009793032242</v>
      </c>
      <c r="E20" s="20" t="n">
        <f aca="false">E2/E13</f>
        <v>1.27127979634344</v>
      </c>
      <c r="F20" s="20" t="n">
        <f aca="false">F2/F13</f>
        <v>1.44914791773859</v>
      </c>
      <c r="G20" s="20" t="n">
        <f aca="false">G2/G13</f>
        <v>1.33838316352096</v>
      </c>
    </row>
    <row r="21" customFormat="false" ht="15" hidden="false" customHeight="false" outlineLevel="0" collapsed="false">
      <c r="A21" s="3" t="s">
        <v>41</v>
      </c>
      <c r="B21" s="21" t="s">
        <v>42</v>
      </c>
      <c r="C21" s="18" t="n">
        <f aca="false">C2/B2-1</f>
        <v>-0.0767643232087576</v>
      </c>
      <c r="D21" s="18" t="n">
        <f aca="false">D2/C2-1</f>
        <v>0.0717756827680047</v>
      </c>
      <c r="E21" s="18" t="n">
        <f aca="false">E2/D2-1</f>
        <v>-0.0659941056449785</v>
      </c>
      <c r="F21" s="18" t="n">
        <f aca="false">F2/E2-1</f>
        <v>0.127988543411248</v>
      </c>
      <c r="G21" s="18" t="n">
        <f aca="false">G2/F2-1</f>
        <v>-0.137878722671716</v>
      </c>
    </row>
    <row r="23" customFormat="false" ht="15" hidden="false" customHeight="false" outlineLevel="0" collapsed="false">
      <c r="A23" s="5" t="s">
        <v>43</v>
      </c>
      <c r="B23" s="19" t="n">
        <f aca="false">(G2/B2)^(1/5)-1</f>
        <v>-0.0211236645780948</v>
      </c>
    </row>
    <row r="25" customFormat="false" ht="15" hidden="false" customHeight="false" outlineLevel="0" collapsed="false">
      <c r="A25" s="12" t="s">
        <v>44</v>
      </c>
    </row>
    <row r="26" customFormat="false" ht="15" hidden="false" customHeight="false" outlineLevel="0" collapsed="false">
      <c r="A26" s="1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13" t="s">
        <v>47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</row>
    <row r="2" customFormat="false" ht="15" hidden="false" customHeight="false" outlineLevel="0" collapsed="false">
      <c r="A2" s="5" t="s">
        <v>27</v>
      </c>
      <c r="B2" s="15" t="n">
        <v>66.32</v>
      </c>
      <c r="C2" s="15" t="n">
        <v>75.66</v>
      </c>
      <c r="D2" s="15" t="n">
        <v>83.65</v>
      </c>
      <c r="E2" s="15" t="n">
        <v>84.02</v>
      </c>
      <c r="F2" s="15" t="n">
        <v>89.8</v>
      </c>
      <c r="G2" s="15" t="n">
        <v>83.35</v>
      </c>
    </row>
    <row r="3" customFormat="false" ht="15" hidden="false" customHeight="false" outlineLevel="0" collapsed="false">
      <c r="A3" s="5" t="s">
        <v>28</v>
      </c>
      <c r="B3" s="15" t="n">
        <v>19.1</v>
      </c>
      <c r="C3" s="15" t="n">
        <v>16.53</v>
      </c>
      <c r="D3" s="15" t="n">
        <v>18.5</v>
      </c>
      <c r="E3" s="15" t="n">
        <v>17.77</v>
      </c>
      <c r="F3" s="15" t="n">
        <v>18.43</v>
      </c>
      <c r="G3" s="15" t="n">
        <v>15.5</v>
      </c>
    </row>
    <row r="4" customFormat="false" ht="15" hidden="false" customHeight="false" outlineLevel="0" collapsed="false">
      <c r="A4" s="5" t="s">
        <v>29</v>
      </c>
      <c r="B4" s="15" t="n">
        <v>3.72</v>
      </c>
      <c r="C4" s="15" t="n">
        <v>-0.91</v>
      </c>
      <c r="D4" s="15" t="n">
        <v>-2.06</v>
      </c>
      <c r="E4" s="15" t="n">
        <v>-0.44</v>
      </c>
      <c r="F4" s="15" t="n">
        <v>-3.13</v>
      </c>
      <c r="G4" s="15" t="n">
        <v>1.09</v>
      </c>
    </row>
    <row r="5" customFormat="false" ht="15" hidden="false" customHeight="false" outlineLevel="0" collapsed="false">
      <c r="A5" s="5" t="s">
        <v>30</v>
      </c>
      <c r="B5" s="15" t="n">
        <v>3.68</v>
      </c>
      <c r="C5" s="15" t="n">
        <v>4.82</v>
      </c>
      <c r="D5" s="15" t="n">
        <v>5.31</v>
      </c>
      <c r="E5" s="15" t="n">
        <v>5.24</v>
      </c>
      <c r="F5" s="15" t="n">
        <v>5.73</v>
      </c>
      <c r="G5" s="15" t="n">
        <v>6</v>
      </c>
    </row>
    <row r="6" customFormat="false" ht="15" hidden="false" customHeight="false" outlineLevel="0" collapsed="false">
      <c r="A6" s="5" t="s">
        <v>31</v>
      </c>
      <c r="B6" s="15" t="n">
        <v>10.95</v>
      </c>
      <c r="C6" s="15" t="n">
        <v>13.19</v>
      </c>
      <c r="D6" s="15" t="n">
        <v>12.15</v>
      </c>
      <c r="E6" s="15" t="n">
        <v>7.35</v>
      </c>
      <c r="F6" s="15" t="n">
        <v>7.51</v>
      </c>
      <c r="G6" s="15" t="n">
        <v>7.11</v>
      </c>
    </row>
    <row r="7" customFormat="false" ht="15" hidden="false" customHeight="false" outlineLevel="0" collapsed="false">
      <c r="A7" s="5" t="s">
        <v>32</v>
      </c>
      <c r="B7" s="15" t="n">
        <v>20.21</v>
      </c>
      <c r="C7" s="15" t="n">
        <v>22.74</v>
      </c>
      <c r="D7" s="15" t="n">
        <v>23.63</v>
      </c>
      <c r="E7" s="15" t="n">
        <v>24.82</v>
      </c>
      <c r="F7" s="15" t="n">
        <v>23</v>
      </c>
      <c r="G7" s="15" t="n">
        <v>23.96</v>
      </c>
    </row>
    <row r="8" customFormat="false" ht="15" hidden="false" customHeight="false" outlineLevel="0" collapsed="false">
      <c r="A8" s="5" t="s">
        <v>33</v>
      </c>
      <c r="B8" s="15" t="n">
        <v>3.45</v>
      </c>
      <c r="C8" s="15" t="n">
        <v>4.6</v>
      </c>
      <c r="D8" s="15" t="n">
        <v>5.9</v>
      </c>
      <c r="E8" s="15" t="n">
        <v>9.99</v>
      </c>
      <c r="F8" s="15" t="n">
        <v>14.35</v>
      </c>
      <c r="G8" s="15" t="n">
        <v>9.96</v>
      </c>
    </row>
    <row r="9" customFormat="false" ht="15" hidden="false" customHeight="false" outlineLevel="0" collapsed="false">
      <c r="A9" s="5" t="s">
        <v>34</v>
      </c>
      <c r="B9" s="15" t="n">
        <v>1.86</v>
      </c>
      <c r="C9" s="15" t="n">
        <v>1.77</v>
      </c>
      <c r="D9" s="15" t="n">
        <v>2.35</v>
      </c>
      <c r="E9" s="15" t="n">
        <v>1.98</v>
      </c>
      <c r="F9" s="15" t="n">
        <v>2.29</v>
      </c>
      <c r="G9" s="15" t="n">
        <v>2.08</v>
      </c>
    </row>
    <row r="10" customFormat="false" ht="15" hidden="false" customHeight="false" outlineLevel="0" collapsed="false">
      <c r="A10" s="5" t="s">
        <v>35</v>
      </c>
      <c r="B10" s="15" t="n">
        <v>12.25</v>
      </c>
      <c r="C10" s="15" t="n">
        <v>10.29</v>
      </c>
      <c r="D10" s="15" t="n">
        <v>12.12</v>
      </c>
      <c r="E10" s="15" t="n">
        <v>16.05</v>
      </c>
      <c r="F10" s="15" t="n">
        <v>18.51</v>
      </c>
      <c r="G10" s="15" t="n">
        <v>21.94</v>
      </c>
    </row>
    <row r="11" customFormat="false" ht="15" hidden="false" customHeight="false" outlineLevel="0" collapsed="false">
      <c r="A11" s="5" t="s">
        <v>36</v>
      </c>
      <c r="B11" s="15" t="n">
        <v>5</v>
      </c>
      <c r="C11" s="15" t="n">
        <v>5</v>
      </c>
      <c r="D11" s="15" t="n">
        <v>5</v>
      </c>
      <c r="E11" s="15" t="n">
        <v>5</v>
      </c>
      <c r="F11" s="15" t="n">
        <v>5</v>
      </c>
      <c r="G11" s="15" t="n">
        <v>5</v>
      </c>
    </row>
    <row r="12" customFormat="false" ht="15" hidden="false" customHeight="false" outlineLevel="0" collapsed="false">
      <c r="A12" s="5" t="s">
        <v>37</v>
      </c>
      <c r="B12" s="15" t="n">
        <v>160.55</v>
      </c>
      <c r="C12" s="15" t="n">
        <v>170.27</v>
      </c>
      <c r="D12" s="15" t="n">
        <v>182.11</v>
      </c>
      <c r="E12" s="15" t="n">
        <v>199.23</v>
      </c>
      <c r="F12" s="15" t="n">
        <v>215.52</v>
      </c>
      <c r="G12" s="15" t="n">
        <v>236.29</v>
      </c>
    </row>
    <row r="13" customFormat="false" ht="15" hidden="false" customHeight="false" outlineLevel="0" collapsed="false">
      <c r="A13" s="5" t="s">
        <v>38</v>
      </c>
      <c r="B13" s="15" t="n">
        <v>177.14</v>
      </c>
      <c r="C13" s="15" t="n">
        <v>186.86</v>
      </c>
      <c r="D13" s="15" t="n">
        <v>198.08</v>
      </c>
      <c r="E13" s="15" t="n">
        <v>216.93</v>
      </c>
      <c r="F13" s="15" t="n">
        <v>233.1</v>
      </c>
      <c r="G13" s="15" t="n">
        <v>255.65</v>
      </c>
    </row>
    <row r="15" customFormat="false" ht="15" hidden="false" customHeight="false" outlineLevel="0" collapsed="false">
      <c r="A15" s="3" t="s">
        <v>39</v>
      </c>
      <c r="B15" s="16" t="n">
        <f aca="false">B3-B4+B5+B6+B7+B8+B9</f>
        <v>55.53</v>
      </c>
      <c r="C15" s="16" t="n">
        <f aca="false">C3-C4+C5+C6+C7+C8+C9</f>
        <v>64.56</v>
      </c>
      <c r="D15" s="16" t="n">
        <f aca="false">D3-D4+D5+D6+D7+D8+D9</f>
        <v>69.9</v>
      </c>
      <c r="E15" s="16" t="n">
        <f aca="false">E3-E4+E5+E6+E7+E8+E9</f>
        <v>67.59</v>
      </c>
      <c r="F15" s="16" t="n">
        <f aca="false">F3-F4+F5+F6+F7+F8+F9</f>
        <v>74.44</v>
      </c>
      <c r="G15" s="16" t="n">
        <f aca="false">G3-G4+G5+G6+G7+G8+G9</f>
        <v>63.52</v>
      </c>
    </row>
    <row r="16" customFormat="false" ht="15" hidden="false" customHeight="false" outlineLevel="0" collapsed="false">
      <c r="A16" s="5" t="s">
        <v>40</v>
      </c>
      <c r="B16" s="17" t="n">
        <f aca="false">B2-B15</f>
        <v>10.79</v>
      </c>
      <c r="C16" s="17" t="n">
        <f aca="false">C2-C15</f>
        <v>11.1</v>
      </c>
      <c r="D16" s="17" t="n">
        <f aca="false">D2-D15</f>
        <v>13.75</v>
      </c>
      <c r="E16" s="17" t="n">
        <f aca="false">E2-E15</f>
        <v>16.43</v>
      </c>
      <c r="F16" s="17" t="n">
        <f aca="false">F2-F15</f>
        <v>15.36</v>
      </c>
      <c r="G16" s="17" t="n">
        <f aca="false">G2-G15</f>
        <v>19.83</v>
      </c>
    </row>
    <row r="17" customFormat="false" ht="15" hidden="false" customHeight="false" outlineLevel="0" collapsed="false">
      <c r="A17" s="3" t="s">
        <v>10</v>
      </c>
      <c r="B17" s="18" t="n">
        <f aca="false">B16/B2</f>
        <v>0.162696019300362</v>
      </c>
      <c r="C17" s="18" t="n">
        <f aca="false">C16/C2</f>
        <v>0.146708961141951</v>
      </c>
      <c r="D17" s="18" t="n">
        <f aca="false">D16/D2</f>
        <v>0.164375373580395</v>
      </c>
      <c r="E17" s="18" t="n">
        <f aca="false">E16/E2</f>
        <v>0.195548678885979</v>
      </c>
      <c r="F17" s="18" t="n">
        <f aca="false">F16/F2</f>
        <v>0.171046770601336</v>
      </c>
      <c r="G17" s="18" t="n">
        <f aca="false">G16/G2</f>
        <v>0.237912417516497</v>
      </c>
    </row>
    <row r="18" customFormat="false" ht="15" hidden="false" customHeight="false" outlineLevel="0" collapsed="false">
      <c r="A18" s="5" t="s">
        <v>11</v>
      </c>
      <c r="B18" s="19" t="n">
        <f aca="false">B10/B2</f>
        <v>0.184710494571773</v>
      </c>
      <c r="C18" s="19" t="n">
        <f aca="false">C10/C2</f>
        <v>0.136003172085646</v>
      </c>
      <c r="D18" s="19" t="n">
        <f aca="false">D10/D2</f>
        <v>0.144889420203228</v>
      </c>
      <c r="E18" s="19" t="n">
        <f aca="false">E10/E2</f>
        <v>0.191025946203285</v>
      </c>
      <c r="F18" s="19" t="n">
        <f aca="false">F10/F2</f>
        <v>0.206124721603564</v>
      </c>
      <c r="G18" s="19" t="n">
        <f aca="false">G10/G2</f>
        <v>0.263227354529094</v>
      </c>
    </row>
    <row r="19" customFormat="false" ht="15" hidden="false" customHeight="false" outlineLevel="0" collapsed="false">
      <c r="A19" s="3" t="s">
        <v>12</v>
      </c>
      <c r="B19" s="18" t="n">
        <f aca="false">B10/(B11+B12)</f>
        <v>0.0739957716701903</v>
      </c>
      <c r="C19" s="18" t="n">
        <f aca="false">C10/(C11+C12)</f>
        <v>0.058709419752382</v>
      </c>
      <c r="D19" s="18" t="n">
        <f aca="false">D10/(D11+D12)</f>
        <v>0.0647747314413981</v>
      </c>
      <c r="E19" s="18" t="n">
        <f aca="false">E10/(E11+E12)</f>
        <v>0.0785878666209666</v>
      </c>
      <c r="F19" s="18" t="n">
        <f aca="false">F10/(F11+F12)</f>
        <v>0.083937964810448</v>
      </c>
      <c r="G19" s="18" t="n">
        <f aca="false">G10/(G11+G12)</f>
        <v>0.0909279290480335</v>
      </c>
    </row>
    <row r="20" customFormat="false" ht="15" hidden="false" customHeight="false" outlineLevel="0" collapsed="false">
      <c r="A20" s="5" t="s">
        <v>13</v>
      </c>
      <c r="B20" s="20" t="n">
        <f aca="false">B2/B13</f>
        <v>0.374393135373151</v>
      </c>
      <c r="C20" s="20" t="n">
        <f aca="false">C2/C13</f>
        <v>0.40490206571765</v>
      </c>
      <c r="D20" s="20" t="n">
        <f aca="false">D2/D13</f>
        <v>0.422304119547658</v>
      </c>
      <c r="E20" s="20" t="n">
        <f aca="false">E2/E13</f>
        <v>0.387313880053473</v>
      </c>
      <c r="F20" s="20" t="n">
        <f aca="false">F2/F13</f>
        <v>0.385242385242385</v>
      </c>
      <c r="G20" s="20" t="n">
        <f aca="false">G2/G13</f>
        <v>0.326031683942891</v>
      </c>
    </row>
    <row r="21" customFormat="false" ht="15" hidden="false" customHeight="false" outlineLevel="0" collapsed="false">
      <c r="A21" s="3" t="s">
        <v>41</v>
      </c>
      <c r="B21" s="21" t="s">
        <v>42</v>
      </c>
      <c r="C21" s="18" t="n">
        <f aca="false">C2/B2-1</f>
        <v>0.140832328106152</v>
      </c>
      <c r="D21" s="18" t="n">
        <f aca="false">D2/C2-1</f>
        <v>0.105604017975152</v>
      </c>
      <c r="E21" s="18" t="n">
        <f aca="false">E2/D2-1</f>
        <v>0.00442319187089058</v>
      </c>
      <c r="F21" s="18" t="n">
        <f aca="false">F2/E2-1</f>
        <v>0.0687931444894072</v>
      </c>
      <c r="G21" s="18" t="n">
        <f aca="false">G2/F2-1</f>
        <v>-0.0718262806236081</v>
      </c>
    </row>
    <row r="23" customFormat="false" ht="15" hidden="false" customHeight="false" outlineLevel="0" collapsed="false">
      <c r="A23" s="5" t="s">
        <v>43</v>
      </c>
      <c r="B23" s="19" t="n">
        <f aca="false">(G2/B2)^(1/5)-1</f>
        <v>0.0467722894772817</v>
      </c>
    </row>
    <row r="25" customFormat="false" ht="15" hidden="false" customHeight="false" outlineLevel="0" collapsed="false">
      <c r="A25" s="12" t="s">
        <v>44</v>
      </c>
    </row>
    <row r="26" customFormat="false" ht="15" hidden="false" customHeight="false" outlineLevel="0" collapsed="false">
      <c r="A26" s="1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2026-10-24T00:20:18Z</dcterms:created>
  <dc:creator>openpyxl</dc:creator>
  <dc:description/>
  <dc:language>en-US</dc:language>
  <cp:lastModifiedBy/>
  <dcterms:modified xsi:type="dcterms:W3CDTF">2026-10-24T00:20:18Z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